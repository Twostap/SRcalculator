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ostapy\Documents\SR Calculator\"/>
    </mc:Choice>
  </mc:AlternateContent>
  <xr:revisionPtr revIDLastSave="0" documentId="13_ncr:1_{0D168DC7-B226-4A69-B59F-65A3A66D2B15}" xr6:coauthVersionLast="47" xr6:coauthVersionMax="47" xr10:uidLastSave="{00000000-0000-0000-0000-000000000000}"/>
  <bookViews>
    <workbookView xWindow="28680" yWindow="-120" windowWidth="29040" windowHeight="15720" xr2:uid="{0F052941-3CBD-4E7F-9334-07B772739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T10" i="1" l="1"/>
  <c r="IT9" i="1"/>
  <c r="IT8" i="1"/>
  <c r="IT5" i="1"/>
  <c r="IT7" i="1"/>
  <c r="IT6" i="1"/>
  <c r="IT12" i="1" l="1"/>
</calcChain>
</file>

<file path=xl/sharedStrings.xml><?xml version="1.0" encoding="utf-8"?>
<sst xmlns="http://schemas.openxmlformats.org/spreadsheetml/2006/main" count="260" uniqueCount="254">
  <si>
    <t>Medline</t>
  </si>
  <si>
    <t>CINAHL</t>
  </si>
  <si>
    <t>Embase</t>
  </si>
  <si>
    <t>Scopus</t>
  </si>
  <si>
    <t>Topics</t>
  </si>
  <si>
    <t>Drugs and Supplements</t>
  </si>
  <si>
    <t>Input</t>
  </si>
  <si>
    <t>CINAHL Average</t>
  </si>
  <si>
    <t>Embase Average</t>
  </si>
  <si>
    <t>Scopus Average</t>
  </si>
  <si>
    <t>Total to screen</t>
  </si>
  <si>
    <t>Grey Literature</t>
  </si>
  <si>
    <t>Grey Literature Average</t>
  </si>
  <si>
    <t>Allied Health; Physiotherapy</t>
  </si>
  <si>
    <t>Includes</t>
  </si>
  <si>
    <t>Unique</t>
  </si>
  <si>
    <t>Unique Records Average</t>
  </si>
  <si>
    <t>Includes Average</t>
  </si>
  <si>
    <t>Medicine; Blood and hematology</t>
  </si>
  <si>
    <t>Cochrane Library</t>
  </si>
  <si>
    <t>Cochrane Central</t>
  </si>
  <si>
    <t>ERIC</t>
  </si>
  <si>
    <t>PEDro</t>
  </si>
  <si>
    <t>PsycINFO</t>
  </si>
  <si>
    <t>Web of Science</t>
  </si>
  <si>
    <t>Academic Search Complete</t>
  </si>
  <si>
    <t>Academic Search Premier</t>
  </si>
  <si>
    <t>ACM</t>
  </si>
  <si>
    <t>ACP</t>
  </si>
  <si>
    <t>AEI</t>
  </si>
  <si>
    <t>AESC</t>
  </si>
  <si>
    <t>AgeLine</t>
  </si>
  <si>
    <t>Agricola</t>
  </si>
  <si>
    <t>AGRIS</t>
  </si>
  <si>
    <t>AIM</t>
  </si>
  <si>
    <t>Airiti</t>
  </si>
  <si>
    <t>AJOL</t>
  </si>
  <si>
    <t>AMED</t>
  </si>
  <si>
    <t>Annual Review</t>
  </si>
  <si>
    <t>ARC</t>
  </si>
  <si>
    <t>ASSIA</t>
  </si>
  <si>
    <t>ASTS</t>
  </si>
  <si>
    <t>ASU</t>
  </si>
  <si>
    <t>AUSPORT</t>
  </si>
  <si>
    <t>AWI</t>
  </si>
  <si>
    <t>BanglaJol</t>
  </si>
  <si>
    <t>BASE</t>
  </si>
  <si>
    <t>BBO</t>
  </si>
  <si>
    <t>BDENF</t>
  </si>
  <si>
    <t>BEI</t>
  </si>
  <si>
    <t>BIOSIS</t>
  </si>
  <si>
    <t>BMC</t>
  </si>
  <si>
    <t>BMC Vet</t>
  </si>
  <si>
    <t>BNI</t>
  </si>
  <si>
    <t>B-On</t>
  </si>
  <si>
    <t>BSC</t>
  </si>
  <si>
    <t>Business Source Complete</t>
  </si>
  <si>
    <t>Business Source Elite</t>
  </si>
  <si>
    <t>Business Source Premier</t>
  </si>
  <si>
    <t>BVS</t>
  </si>
  <si>
    <t>BVS Vet</t>
  </si>
  <si>
    <t>CAB</t>
  </si>
  <si>
    <t>CABI</t>
  </si>
  <si>
    <t>Cairn</t>
  </si>
  <si>
    <t>CAJ</t>
  </si>
  <si>
    <t>Campbell</t>
  </si>
  <si>
    <t>Capes Periodicos</t>
  </si>
  <si>
    <t>CBCA</t>
  </si>
  <si>
    <t>CBM</t>
  </si>
  <si>
    <t>CDAS</t>
  </si>
  <si>
    <t>CDSR</t>
  </si>
  <si>
    <t>CEA</t>
  </si>
  <si>
    <t>CEBAM</t>
  </si>
  <si>
    <t>CiNii</t>
  </si>
  <si>
    <t>ClinicalKey</t>
  </si>
  <si>
    <t>CMAD</t>
  </si>
  <si>
    <t>CNKI</t>
  </si>
  <si>
    <t>COHG</t>
  </si>
  <si>
    <t>Communications and Mass Media Complete</t>
  </si>
  <si>
    <t>Coronavirus Research Database</t>
  </si>
  <si>
    <t>CPI</t>
  </si>
  <si>
    <t>CRD</t>
  </si>
  <si>
    <t>CUIDEN</t>
  </si>
  <si>
    <t>DARE</t>
  </si>
  <si>
    <t>Dbpia</t>
  </si>
  <si>
    <t>Dialnet</t>
  </si>
  <si>
    <t>Dimensions AI</t>
  </si>
  <si>
    <t>DOAJ</t>
  </si>
  <si>
    <t>DOSS</t>
  </si>
  <si>
    <t>Dynamed</t>
  </si>
  <si>
    <t>EAA</t>
  </si>
  <si>
    <t xml:space="preserve">EB practicenet </t>
  </si>
  <si>
    <t>EBM Reviews</t>
  </si>
  <si>
    <t>EconBiz</t>
  </si>
  <si>
    <t>EconLit</t>
  </si>
  <si>
    <t>EconPapers</t>
  </si>
  <si>
    <t>Education Full Text</t>
  </si>
  <si>
    <t>Education Research Complete</t>
  </si>
  <si>
    <t>Education Source</t>
  </si>
  <si>
    <t>eLibrary.ru</t>
  </si>
  <si>
    <t>Emcare</t>
  </si>
  <si>
    <t>Emerald</t>
  </si>
  <si>
    <t>EMF</t>
  </si>
  <si>
    <t>ENFISPO</t>
  </si>
  <si>
    <t>Engineering Village</t>
  </si>
  <si>
    <t>Environment Complete</t>
  </si>
  <si>
    <t>Epistemonikos</t>
  </si>
  <si>
    <t>ERN</t>
  </si>
  <si>
    <t>ESCI</t>
  </si>
  <si>
    <t>Europe PMC</t>
  </si>
  <si>
    <t>FSTA</t>
  </si>
  <si>
    <t>Gender Studies</t>
  </si>
  <si>
    <t>GHL</t>
  </si>
  <si>
    <t>GIM</t>
  </si>
  <si>
    <t>Global Health</t>
  </si>
  <si>
    <t>Greenfile</t>
  </si>
  <si>
    <t>HAPI</t>
  </si>
  <si>
    <t>Health Research Premium</t>
  </si>
  <si>
    <t>Health Source</t>
  </si>
  <si>
    <t>HealthSTAR</t>
  </si>
  <si>
    <t>HEED</t>
  </si>
  <si>
    <t>Hinari</t>
  </si>
  <si>
    <t>HMIC</t>
  </si>
  <si>
    <t>HPRC</t>
  </si>
  <si>
    <t>HTA</t>
  </si>
  <si>
    <t>IASJ</t>
  </si>
  <si>
    <t>IBECS</t>
  </si>
  <si>
    <t>IBSS</t>
  </si>
  <si>
    <t>IBTD</t>
  </si>
  <si>
    <t>Ichushi-Web</t>
  </si>
  <si>
    <t>ICL</t>
  </si>
  <si>
    <t>IDEAS</t>
  </si>
  <si>
    <t>IEEE Xplore</t>
  </si>
  <si>
    <t>IMBIOMED</t>
  </si>
  <si>
    <t>IMEMR</t>
  </si>
  <si>
    <t>IMSEAR</t>
  </si>
  <si>
    <t>INAHTA</t>
  </si>
  <si>
    <t>IndexPsi</t>
  </si>
  <si>
    <t>Inspec</t>
  </si>
  <si>
    <t>IPA</t>
  </si>
  <si>
    <t>IranDoc</t>
  </si>
  <si>
    <t>IranMedex</t>
  </si>
  <si>
    <t>ISJD</t>
  </si>
  <si>
    <t>JBI</t>
  </si>
  <si>
    <t>JMEDPlus</t>
  </si>
  <si>
    <t>Journals@Ovid</t>
  </si>
  <si>
    <t>JSTOR</t>
  </si>
  <si>
    <t>KCI</t>
  </si>
  <si>
    <t>KISS</t>
  </si>
  <si>
    <t>KMbase</t>
  </si>
  <si>
    <t>KoreaMed</t>
  </si>
  <si>
    <t>KTKP</t>
  </si>
  <si>
    <t>LILACS</t>
  </si>
  <si>
    <t>LISSA</t>
  </si>
  <si>
    <t>LISTA</t>
  </si>
  <si>
    <t>LitCovid</t>
  </si>
  <si>
    <t>LIVIVO</t>
  </si>
  <si>
    <t>LLBA</t>
  </si>
  <si>
    <t>LOVE</t>
  </si>
  <si>
    <t>Magiran</t>
  </si>
  <si>
    <t>MasterFILE</t>
  </si>
  <si>
    <t>Maternity and Infant Care</t>
  </si>
  <si>
    <t>MDPI</t>
  </si>
  <si>
    <t>Medes</t>
  </si>
  <si>
    <t>Medic</t>
  </si>
  <si>
    <t>MINERVA</t>
  </si>
  <si>
    <t>NAHC</t>
  </si>
  <si>
    <t>NatMed</t>
  </si>
  <si>
    <t>NCJRS</t>
  </si>
  <si>
    <t>NCL</t>
  </si>
  <si>
    <t>NDSL</t>
  </si>
  <si>
    <t>NFS</t>
  </si>
  <si>
    <t>NHS EED</t>
  </si>
  <si>
    <t>OASIS</t>
  </si>
  <si>
    <t>OSTMED</t>
  </si>
  <si>
    <t>OTseeker</t>
  </si>
  <si>
    <t>Ovid Nursing</t>
  </si>
  <si>
    <t>PBSC</t>
  </si>
  <si>
    <t>PCORI</t>
  </si>
  <si>
    <t>PEDE</t>
  </si>
  <si>
    <t>PePsic</t>
  </si>
  <si>
    <t>PHD</t>
  </si>
  <si>
    <t>PLOS</t>
  </si>
  <si>
    <t>PMC</t>
  </si>
  <si>
    <t>Popline</t>
  </si>
  <si>
    <t>PreMedline</t>
  </si>
  <si>
    <t>Proquest Central</t>
  </si>
  <si>
    <t>Proquest Health &amp; Medical</t>
  </si>
  <si>
    <t>Proquest Nursing &amp; Allied Health</t>
  </si>
  <si>
    <t>PSICODOC</t>
  </si>
  <si>
    <t>PsycARTICLES</t>
  </si>
  <si>
    <t>PsycEXTRA</t>
  </si>
  <si>
    <t>Psychological and Behavioural Health</t>
  </si>
  <si>
    <t>PsycNet</t>
  </si>
  <si>
    <t>PSYINDEX</t>
  </si>
  <si>
    <t>PTSDpubs</t>
  </si>
  <si>
    <t>PubPsych</t>
  </si>
  <si>
    <t>PubSpace</t>
  </si>
  <si>
    <t>Qikan</t>
  </si>
  <si>
    <t>Redalyc</t>
  </si>
  <si>
    <t>REDIB</t>
  </si>
  <si>
    <t>REHABDATA</t>
  </si>
  <si>
    <t>REPEC</t>
  </si>
  <si>
    <t>Retraction Watch</t>
  </si>
  <si>
    <t>RISS</t>
  </si>
  <si>
    <t>Rx for Change</t>
  </si>
  <si>
    <t>Sage</t>
  </si>
  <si>
    <t>Saudi Digital Library</t>
  </si>
  <si>
    <t>ScHARRHUD</t>
  </si>
  <si>
    <t>SCI</t>
  </si>
  <si>
    <t>SciELO</t>
  </si>
  <si>
    <t>Science.gov</t>
  </si>
  <si>
    <t>ScienceDirect</t>
  </si>
  <si>
    <t>ScienceON</t>
  </si>
  <si>
    <t>SciFinder</t>
  </si>
  <si>
    <t>Scilit</t>
  </si>
  <si>
    <t>SID</t>
  </si>
  <si>
    <t>Sinomed</t>
  </si>
  <si>
    <t>SINTA</t>
  </si>
  <si>
    <t>SMEI</t>
  </si>
  <si>
    <t>SocINDEX</t>
  </si>
  <si>
    <t>Sociological Abstracts</t>
  </si>
  <si>
    <t>speechBITE</t>
  </si>
  <si>
    <t>SPIE</t>
  </si>
  <si>
    <t>SPORTDiscus</t>
  </si>
  <si>
    <t>SPP</t>
  </si>
  <si>
    <t>Springer</t>
  </si>
  <si>
    <t>SSCI</t>
  </si>
  <si>
    <t>SSD</t>
  </si>
  <si>
    <t>SSFT</t>
  </si>
  <si>
    <t>SSPC</t>
  </si>
  <si>
    <t>STC</t>
  </si>
  <si>
    <t>SURF</t>
  </si>
  <si>
    <t>SWA</t>
  </si>
  <si>
    <t>TANDF</t>
  </si>
  <si>
    <t>Teacher Reference Center</t>
  </si>
  <si>
    <t>TEL</t>
  </si>
  <si>
    <t>ThaiJo</t>
  </si>
  <si>
    <t>TRDizin</t>
  </si>
  <si>
    <t>TRID</t>
  </si>
  <si>
    <t>Trip</t>
  </si>
  <si>
    <t>UpToDate</t>
  </si>
  <si>
    <t>VIP</t>
  </si>
  <si>
    <t>Virology and AIDS Abstracts</t>
  </si>
  <si>
    <t>Wanfang</t>
  </si>
  <si>
    <t>WAO</t>
  </si>
  <si>
    <t>WHO COVID</t>
  </si>
  <si>
    <t>WIKISTIM</t>
  </si>
  <si>
    <t>Wiley</t>
  </si>
  <si>
    <t>WorldCat</t>
  </si>
  <si>
    <t>WPRIM</t>
  </si>
  <si>
    <t>Yiigle</t>
  </si>
  <si>
    <t>Zetoc</t>
  </si>
  <si>
    <t>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</si>
</sst>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1" xfId="0" applyNumberFormat="1" applyBorder="1" applyAlignment="1">
      <alignment horizontal="left"/>
    </xf>
    <xf numFmtId="1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urnals@Ov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56D9-900A-4A06-9B6B-B4971FA1021D}">
  <dimension ref="A1:IT12"/>
  <sheetViews>
    <sheetView showGridLines="0" tabSelected="1" workbookViewId="0">
      <selection activeCell="A4" sqref="A4"/>
    </sheetView>
  </sheetViews>
  <sheetFormatPr defaultRowHeight="15" x14ac:dyDescent="0.25"/>
  <cols>
    <col min="12" max="12" width="32" customWidth="1"/>
    <col min="13" max="13" width="15.85546875" customWidth="1"/>
    <col min="14" max="14" width="23.7109375" customWidth="1"/>
    <col min="15" max="244" width="13.28515625" customWidth="1"/>
    <col min="247" max="247" width="22.5703125" customWidth="1"/>
    <col min="248" max="248" width="20.28515625" customWidth="1"/>
    <col min="249" max="249" width="29.5703125" customWidth="1"/>
  </cols>
  <sheetData>
    <row r="1" spans="1:254" x14ac:dyDescent="0.25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11</v>
      </c>
      <c r="N1" s="1" t="s">
        <v>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  <c r="BM1" s="1" t="s">
        <v>75</v>
      </c>
      <c r="BN1" s="1" t="s">
        <v>76</v>
      </c>
      <c r="BO1" s="1" t="s">
        <v>77</v>
      </c>
      <c r="BP1" s="1" t="s">
        <v>78</v>
      </c>
      <c r="BQ1" s="1" t="s">
        <v>79</v>
      </c>
      <c r="BR1" s="1" t="s">
        <v>80</v>
      </c>
      <c r="BS1" s="1" t="s">
        <v>81</v>
      </c>
      <c r="BT1" s="1" t="s">
        <v>82</v>
      </c>
      <c r="BU1" s="1" t="s">
        <v>83</v>
      </c>
      <c r="BV1" s="1" t="s">
        <v>84</v>
      </c>
      <c r="BW1" s="1" t="s">
        <v>85</v>
      </c>
      <c r="BX1" s="1" t="s">
        <v>86</v>
      </c>
      <c r="BY1" s="1" t="s">
        <v>87</v>
      </c>
      <c r="BZ1" s="1" t="s">
        <v>88</v>
      </c>
      <c r="CA1" s="1" t="s">
        <v>89</v>
      </c>
      <c r="CB1" s="1" t="s">
        <v>90</v>
      </c>
      <c r="CC1" s="1" t="s">
        <v>91</v>
      </c>
      <c r="CD1" s="1" t="s">
        <v>92</v>
      </c>
      <c r="CE1" s="1" t="s">
        <v>93</v>
      </c>
      <c r="CF1" s="1" t="s">
        <v>94</v>
      </c>
      <c r="CG1" s="1" t="s">
        <v>95</v>
      </c>
      <c r="CH1" s="1" t="s">
        <v>96</v>
      </c>
      <c r="CI1" s="1" t="s">
        <v>97</v>
      </c>
      <c r="CJ1" s="1" t="s">
        <v>98</v>
      </c>
      <c r="CK1" s="1" t="s">
        <v>99</v>
      </c>
      <c r="CL1" s="1" t="s">
        <v>100</v>
      </c>
      <c r="CM1" s="1" t="s">
        <v>101</v>
      </c>
      <c r="CN1" s="1" t="s">
        <v>102</v>
      </c>
      <c r="CO1" s="1" t="s">
        <v>103</v>
      </c>
      <c r="CP1" s="1" t="s">
        <v>104</v>
      </c>
      <c r="CQ1" s="1" t="s">
        <v>105</v>
      </c>
      <c r="CR1" s="1" t="s">
        <v>106</v>
      </c>
      <c r="CS1" s="1" t="s">
        <v>107</v>
      </c>
      <c r="CT1" s="1" t="s">
        <v>108</v>
      </c>
      <c r="CU1" s="1" t="s">
        <v>109</v>
      </c>
      <c r="CV1" s="1" t="s">
        <v>110</v>
      </c>
      <c r="CW1" s="1" t="s">
        <v>111</v>
      </c>
      <c r="CX1" s="1" t="s">
        <v>112</v>
      </c>
      <c r="CY1" s="1" t="s">
        <v>113</v>
      </c>
      <c r="CZ1" s="1" t="s">
        <v>114</v>
      </c>
      <c r="DA1" s="1" t="s">
        <v>115</v>
      </c>
      <c r="DB1" s="1" t="s">
        <v>116</v>
      </c>
      <c r="DC1" s="1" t="s">
        <v>117</v>
      </c>
      <c r="DD1" s="1" t="s">
        <v>118</v>
      </c>
      <c r="DE1" s="1" t="s">
        <v>119</v>
      </c>
      <c r="DF1" s="1" t="s">
        <v>120</v>
      </c>
      <c r="DG1" s="1" t="s">
        <v>121</v>
      </c>
      <c r="DH1" s="1" t="s">
        <v>122</v>
      </c>
      <c r="DI1" s="1" t="s">
        <v>123</v>
      </c>
      <c r="DJ1" s="1" t="s">
        <v>124</v>
      </c>
      <c r="DK1" s="1" t="s">
        <v>125</v>
      </c>
      <c r="DL1" s="1" t="s">
        <v>126</v>
      </c>
      <c r="DM1" s="1" t="s">
        <v>127</v>
      </c>
      <c r="DN1" s="1" t="s">
        <v>128</v>
      </c>
      <c r="DO1" s="1" t="s">
        <v>129</v>
      </c>
      <c r="DP1" s="1" t="s">
        <v>130</v>
      </c>
      <c r="DQ1" s="1" t="s">
        <v>131</v>
      </c>
      <c r="DR1" s="1" t="s">
        <v>132</v>
      </c>
      <c r="DS1" s="1" t="s">
        <v>133</v>
      </c>
      <c r="DT1" s="1" t="s">
        <v>134</v>
      </c>
      <c r="DU1" s="1" t="s">
        <v>135</v>
      </c>
      <c r="DV1" s="1" t="s">
        <v>136</v>
      </c>
      <c r="DW1" s="1" t="s">
        <v>137</v>
      </c>
      <c r="DX1" s="1" t="s">
        <v>138</v>
      </c>
      <c r="DY1" s="1" t="s">
        <v>139</v>
      </c>
      <c r="DZ1" s="1" t="s">
        <v>140</v>
      </c>
      <c r="EA1" s="1" t="s">
        <v>141</v>
      </c>
      <c r="EB1" s="1" t="s">
        <v>142</v>
      </c>
      <c r="EC1" s="1" t="s">
        <v>143</v>
      </c>
      <c r="ED1" s="1" t="s">
        <v>144</v>
      </c>
      <c r="EE1" s="5" t="s">
        <v>145</v>
      </c>
      <c r="EF1" s="1" t="s">
        <v>146</v>
      </c>
      <c r="EG1" s="1" t="s">
        <v>147</v>
      </c>
      <c r="EH1" s="1" t="s">
        <v>148</v>
      </c>
      <c r="EI1" s="1" t="s">
        <v>149</v>
      </c>
      <c r="EJ1" s="1" t="s">
        <v>150</v>
      </c>
      <c r="EK1" s="1" t="s">
        <v>151</v>
      </c>
      <c r="EL1" s="1" t="s">
        <v>152</v>
      </c>
      <c r="EM1" s="1" t="s">
        <v>153</v>
      </c>
      <c r="EN1" s="1" t="s">
        <v>154</v>
      </c>
      <c r="EO1" s="1" t="s">
        <v>155</v>
      </c>
      <c r="EP1" s="1" t="s">
        <v>156</v>
      </c>
      <c r="EQ1" s="1" t="s">
        <v>157</v>
      </c>
      <c r="ER1" s="1" t="s">
        <v>158</v>
      </c>
      <c r="ES1" s="1" t="s">
        <v>159</v>
      </c>
      <c r="ET1" s="1" t="s">
        <v>160</v>
      </c>
      <c r="EU1" s="1" t="s">
        <v>161</v>
      </c>
      <c r="EV1" s="1" t="s">
        <v>162</v>
      </c>
      <c r="EW1" s="1" t="s">
        <v>163</v>
      </c>
      <c r="EX1" s="1" t="s">
        <v>164</v>
      </c>
      <c r="EY1" s="1" t="s">
        <v>165</v>
      </c>
      <c r="EZ1" s="1" t="s">
        <v>166</v>
      </c>
      <c r="FA1" s="1" t="s">
        <v>167</v>
      </c>
      <c r="FB1" s="1" t="s">
        <v>168</v>
      </c>
      <c r="FC1" s="1" t="s">
        <v>169</v>
      </c>
      <c r="FD1" s="1" t="s">
        <v>170</v>
      </c>
      <c r="FE1" s="1" t="s">
        <v>171</v>
      </c>
      <c r="FF1" s="1" t="s">
        <v>172</v>
      </c>
      <c r="FG1" s="1" t="s">
        <v>173</v>
      </c>
      <c r="FH1" s="1" t="s">
        <v>174</v>
      </c>
      <c r="FI1" s="1" t="s">
        <v>175</v>
      </c>
      <c r="FJ1" s="1" t="s">
        <v>176</v>
      </c>
      <c r="FK1" s="1" t="s">
        <v>177</v>
      </c>
      <c r="FL1" s="1" t="s">
        <v>178</v>
      </c>
      <c r="FM1" s="1" t="s">
        <v>179</v>
      </c>
      <c r="FN1" s="1" t="s">
        <v>180</v>
      </c>
      <c r="FO1" s="1" t="s">
        <v>181</v>
      </c>
      <c r="FP1" s="1" t="s">
        <v>182</v>
      </c>
      <c r="FQ1" s="1" t="s">
        <v>183</v>
      </c>
      <c r="FR1" s="1" t="s">
        <v>184</v>
      </c>
      <c r="FS1" s="1" t="s">
        <v>185</v>
      </c>
      <c r="FT1" s="1" t="s">
        <v>186</v>
      </c>
      <c r="FU1" s="1" t="s">
        <v>187</v>
      </c>
      <c r="FV1" s="1" t="s">
        <v>188</v>
      </c>
      <c r="FW1" s="1" t="s">
        <v>189</v>
      </c>
      <c r="FX1" s="1" t="s">
        <v>190</v>
      </c>
      <c r="FY1" s="1" t="s">
        <v>191</v>
      </c>
      <c r="FZ1" s="1" t="s">
        <v>192</v>
      </c>
      <c r="GA1" s="1" t="s">
        <v>193</v>
      </c>
      <c r="GB1" s="1" t="s">
        <v>194</v>
      </c>
      <c r="GC1" s="1" t="s">
        <v>195</v>
      </c>
      <c r="GD1" s="1" t="s">
        <v>196</v>
      </c>
      <c r="GE1" s="1" t="s">
        <v>197</v>
      </c>
      <c r="GF1" s="1" t="s">
        <v>198</v>
      </c>
      <c r="GG1" s="1" t="s">
        <v>199</v>
      </c>
      <c r="GH1" s="1" t="s">
        <v>200</v>
      </c>
      <c r="GI1" s="1" t="s">
        <v>201</v>
      </c>
      <c r="GJ1" s="1" t="s">
        <v>202</v>
      </c>
      <c r="GK1" s="1" t="s">
        <v>203</v>
      </c>
      <c r="GL1" s="1" t="s">
        <v>204</v>
      </c>
      <c r="GM1" s="1" t="s">
        <v>205</v>
      </c>
      <c r="GN1" s="1" t="s">
        <v>206</v>
      </c>
      <c r="GO1" s="1" t="s">
        <v>207</v>
      </c>
      <c r="GP1" s="1" t="s">
        <v>208</v>
      </c>
      <c r="GQ1" s="1" t="s">
        <v>209</v>
      </c>
      <c r="GR1" s="1" t="s">
        <v>210</v>
      </c>
      <c r="GS1" s="1" t="s">
        <v>211</v>
      </c>
      <c r="GT1" s="1" t="s">
        <v>212</v>
      </c>
      <c r="GU1" s="1" t="s">
        <v>213</v>
      </c>
      <c r="GV1" s="1" t="s">
        <v>214</v>
      </c>
      <c r="GW1" s="1" t="s">
        <v>215</v>
      </c>
      <c r="GX1" s="1" t="s">
        <v>216</v>
      </c>
      <c r="GY1" s="1" t="s">
        <v>217</v>
      </c>
      <c r="GZ1" s="1" t="s">
        <v>218</v>
      </c>
      <c r="HA1" s="1" t="s">
        <v>219</v>
      </c>
      <c r="HB1" s="1" t="s">
        <v>220</v>
      </c>
      <c r="HC1" s="1" t="s">
        <v>221</v>
      </c>
      <c r="HD1" s="1" t="s">
        <v>222</v>
      </c>
      <c r="HE1" s="1" t="s">
        <v>223</v>
      </c>
      <c r="HF1" s="1" t="s">
        <v>224</v>
      </c>
      <c r="HG1" s="1" t="s">
        <v>225</v>
      </c>
      <c r="HH1" s="1" t="s">
        <v>226</v>
      </c>
      <c r="HI1" s="1" t="s">
        <v>227</v>
      </c>
      <c r="HJ1" s="1" t="s">
        <v>228</v>
      </c>
      <c r="HK1" s="1" t="s">
        <v>229</v>
      </c>
      <c r="HL1" s="1" t="s">
        <v>230</v>
      </c>
      <c r="HM1" s="1" t="s">
        <v>231</v>
      </c>
      <c r="HN1" s="1" t="s">
        <v>232</v>
      </c>
      <c r="HO1" s="1" t="s">
        <v>233</v>
      </c>
      <c r="HP1" s="1" t="s">
        <v>234</v>
      </c>
      <c r="HQ1" s="1" t="s">
        <v>235</v>
      </c>
      <c r="HR1" s="1" t="s">
        <v>236</v>
      </c>
      <c r="HS1" s="1" t="s">
        <v>237</v>
      </c>
      <c r="HT1" s="1" t="s">
        <v>238</v>
      </c>
      <c r="HU1" s="1" t="s">
        <v>239</v>
      </c>
      <c r="HV1" s="1" t="s">
        <v>240</v>
      </c>
      <c r="HW1" s="1" t="s">
        <v>241</v>
      </c>
      <c r="HX1" s="1" t="s">
        <v>242</v>
      </c>
      <c r="HY1" s="1" t="s">
        <v>243</v>
      </c>
      <c r="HZ1" s="1" t="s">
        <v>244</v>
      </c>
      <c r="IA1" s="1" t="s">
        <v>245</v>
      </c>
      <c r="IB1" s="1" t="s">
        <v>246</v>
      </c>
      <c r="IC1" s="1" t="s">
        <v>247</v>
      </c>
      <c r="ID1" s="1" t="s">
        <v>248</v>
      </c>
      <c r="IE1" s="1" t="s">
        <v>249</v>
      </c>
      <c r="IF1" s="1" t="s">
        <v>250</v>
      </c>
      <c r="IG1" s="1" t="s">
        <v>251</v>
      </c>
      <c r="IH1" s="1" t="s">
        <v>252</v>
      </c>
      <c r="II1" s="1" t="s">
        <v>30</v>
      </c>
      <c r="IJ1" s="1" t="s">
        <v>253</v>
      </c>
      <c r="IS1" s="1" t="s">
        <v>6</v>
      </c>
      <c r="IT1" s="3">
        <v>100</v>
      </c>
    </row>
    <row r="2" spans="1:254" x14ac:dyDescent="0.25">
      <c r="A2">
        <v>500</v>
      </c>
      <c r="B2">
        <v>5</v>
      </c>
      <c r="C2">
        <v>350</v>
      </c>
      <c r="D2">
        <v>100</v>
      </c>
      <c r="E2">
        <v>20</v>
      </c>
      <c r="F2">
        <v>3</v>
      </c>
      <c r="G2">
        <v>1</v>
      </c>
      <c r="H2">
        <v>6</v>
      </c>
      <c r="I2">
        <v>10</v>
      </c>
      <c r="J2">
        <v>20</v>
      </c>
      <c r="K2">
        <v>5</v>
      </c>
      <c r="L2">
        <v>73</v>
      </c>
      <c r="M2">
        <v>1</v>
      </c>
      <c r="N2" t="s">
        <v>5</v>
      </c>
      <c r="O2">
        <v>100</v>
      </c>
      <c r="P2">
        <v>1</v>
      </c>
      <c r="IS2" s="1" t="s">
        <v>4</v>
      </c>
      <c r="IT2" s="3" t="s">
        <v>18</v>
      </c>
    </row>
    <row r="3" spans="1:254" x14ac:dyDescent="0.25">
      <c r="A3">
        <v>200</v>
      </c>
      <c r="B3">
        <v>8</v>
      </c>
      <c r="C3">
        <v>150</v>
      </c>
      <c r="D3">
        <v>50</v>
      </c>
      <c r="E3">
        <v>5</v>
      </c>
      <c r="F3">
        <v>4</v>
      </c>
      <c r="G3">
        <v>2</v>
      </c>
      <c r="H3">
        <v>5</v>
      </c>
      <c r="I3">
        <v>20</v>
      </c>
      <c r="J3">
        <v>10</v>
      </c>
      <c r="K3">
        <v>10</v>
      </c>
      <c r="L3">
        <v>12</v>
      </c>
      <c r="M3">
        <v>6</v>
      </c>
      <c r="N3" t="s">
        <v>13</v>
      </c>
      <c r="O3">
        <v>200</v>
      </c>
      <c r="P3">
        <v>2</v>
      </c>
      <c r="IS3" s="2"/>
      <c r="IT3" s="4"/>
    </row>
    <row r="4" spans="1:254" x14ac:dyDescent="0.25">
      <c r="A4">
        <v>100</v>
      </c>
      <c r="B4">
        <v>13</v>
      </c>
      <c r="C4">
        <v>300</v>
      </c>
      <c r="D4">
        <v>60</v>
      </c>
      <c r="E4">
        <v>1</v>
      </c>
      <c r="F4">
        <v>300</v>
      </c>
      <c r="G4">
        <v>3</v>
      </c>
      <c r="H4">
        <v>4</v>
      </c>
      <c r="I4">
        <v>30</v>
      </c>
      <c r="J4">
        <v>30</v>
      </c>
      <c r="K4">
        <v>15</v>
      </c>
      <c r="L4">
        <v>65</v>
      </c>
      <c r="M4">
        <v>100</v>
      </c>
      <c r="N4" t="s">
        <v>18</v>
      </c>
      <c r="O4">
        <v>300</v>
      </c>
      <c r="P4">
        <v>3</v>
      </c>
      <c r="IS4" s="2"/>
      <c r="IT4" s="4"/>
    </row>
    <row r="5" spans="1:254" x14ac:dyDescent="0.25">
      <c r="A5">
        <v>300</v>
      </c>
      <c r="B5">
        <v>12</v>
      </c>
      <c r="C5">
        <v>200</v>
      </c>
      <c r="D5">
        <v>1</v>
      </c>
      <c r="E5">
        <v>5</v>
      </c>
      <c r="F5">
        <v>2</v>
      </c>
      <c r="G5">
        <v>4</v>
      </c>
      <c r="H5">
        <v>3</v>
      </c>
      <c r="I5">
        <v>40</v>
      </c>
      <c r="J5">
        <v>40</v>
      </c>
      <c r="K5">
        <v>20</v>
      </c>
      <c r="L5">
        <v>99</v>
      </c>
      <c r="M5">
        <v>30</v>
      </c>
      <c r="N5" t="s">
        <v>5</v>
      </c>
      <c r="O5">
        <v>400</v>
      </c>
      <c r="P5">
        <v>4</v>
      </c>
      <c r="S5">
        <v>4</v>
      </c>
      <c r="IS5" t="s">
        <v>7</v>
      </c>
      <c r="IT5" s="4">
        <f>IFERROR(AVERAGEIFS(D2:D7,A2:A7,"&gt;" &amp; IT1-100, A2:A7,"&lt;" &amp; IT1+100,N2:N7,IT2),"None in dataset")</f>
        <v>35</v>
      </c>
    </row>
    <row r="6" spans="1:254" x14ac:dyDescent="0.25">
      <c r="A6">
        <v>600</v>
      </c>
      <c r="B6">
        <v>35</v>
      </c>
      <c r="C6">
        <v>450</v>
      </c>
      <c r="D6">
        <v>3</v>
      </c>
      <c r="E6">
        <v>17</v>
      </c>
      <c r="F6">
        <v>6</v>
      </c>
      <c r="G6">
        <v>5</v>
      </c>
      <c r="H6">
        <v>2</v>
      </c>
      <c r="I6">
        <v>50</v>
      </c>
      <c r="J6">
        <v>50</v>
      </c>
      <c r="K6">
        <v>25</v>
      </c>
      <c r="L6">
        <v>200</v>
      </c>
      <c r="M6">
        <v>70</v>
      </c>
      <c r="N6" t="s">
        <v>13</v>
      </c>
      <c r="O6">
        <v>500</v>
      </c>
      <c r="P6">
        <v>5</v>
      </c>
      <c r="T6">
        <v>4</v>
      </c>
      <c r="IS6" t="s">
        <v>8</v>
      </c>
      <c r="IT6" s="4">
        <f>IFERROR(AVERAGEIFS(E2:E7,A2:A7,"&gt;" &amp; IT1-100, A2:A7,"&lt;" &amp; IT1+100,N2:N7,IT2),"None in dataset")</f>
        <v>1</v>
      </c>
    </row>
    <row r="7" spans="1:254" x14ac:dyDescent="0.25">
      <c r="A7">
        <v>50</v>
      </c>
      <c r="B7">
        <v>9</v>
      </c>
      <c r="C7">
        <v>45</v>
      </c>
      <c r="D7">
        <v>10</v>
      </c>
      <c r="E7">
        <v>1</v>
      </c>
      <c r="F7">
        <v>500</v>
      </c>
      <c r="G7">
        <v>6</v>
      </c>
      <c r="H7">
        <v>1</v>
      </c>
      <c r="I7">
        <v>60</v>
      </c>
      <c r="J7">
        <v>60</v>
      </c>
      <c r="K7">
        <v>30</v>
      </c>
      <c r="L7">
        <v>100</v>
      </c>
      <c r="M7">
        <v>1000</v>
      </c>
      <c r="N7" t="s">
        <v>18</v>
      </c>
      <c r="O7">
        <v>600</v>
      </c>
      <c r="P7">
        <v>6</v>
      </c>
      <c r="U7">
        <v>7</v>
      </c>
      <c r="IS7" t="s">
        <v>9</v>
      </c>
      <c r="IT7" s="4">
        <f>IFERROR(AVERAGEIFS(F2:F7,A2:A7,"&gt;" &amp; IT1-100, A2:A7,"&lt;" &amp; IT1+100,N2:N7,IT2),"None in dataset")</f>
        <v>400</v>
      </c>
    </row>
    <row r="8" spans="1:254" x14ac:dyDescent="0.25">
      <c r="IS8" t="s">
        <v>12</v>
      </c>
      <c r="IT8" s="4">
        <f>IFERROR(AVERAGEIFS(M2:M7,A2:A7,"&gt;" &amp; IT1-100, A2:A7,"&lt;" &amp; IT1+100,N2:N7,IT2),"None in dataset")</f>
        <v>550</v>
      </c>
    </row>
    <row r="9" spans="1:254" x14ac:dyDescent="0.25">
      <c r="IS9" t="s">
        <v>16</v>
      </c>
      <c r="IT9" s="4">
        <f>IFERROR(AVERAGEIFS(C2:C7,A2:A7,"&gt;" &amp; IT1-100, A2:A7,"&lt;" &amp; IT1+100,N2:N7,IT2),"None in dataset")</f>
        <v>172.5</v>
      </c>
    </row>
    <row r="10" spans="1:254" x14ac:dyDescent="0.25">
      <c r="IS10" t="s">
        <v>17</v>
      </c>
      <c r="IT10" s="4">
        <f>IFERROR(AVERAGEIFS(B2:B7,A2:A7,"&gt;" &amp; IT1-100, A2:A7,"&lt;" &amp; IT1+100,N2:N7,IT2),"None in dataset")</f>
        <v>11</v>
      </c>
    </row>
    <row r="11" spans="1:254" x14ac:dyDescent="0.25">
      <c r="IS11" s="2"/>
      <c r="IT11" s="4"/>
    </row>
    <row r="12" spans="1:254" x14ac:dyDescent="0.25">
      <c r="IS12" s="2" t="s">
        <v>10</v>
      </c>
      <c r="IT12" s="4">
        <f>SUM(IT1,IT5:IT8)</f>
        <v>1086</v>
      </c>
    </row>
  </sheetData>
  <hyperlinks>
    <hyperlink ref="EE1" r:id="rId1" xr:uid="{485D0DC9-CFF8-4FC8-B90B-EE2E9FA683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Ostapyk</dc:creator>
  <cp:lastModifiedBy>Tyler Ostapyk</cp:lastModifiedBy>
  <dcterms:created xsi:type="dcterms:W3CDTF">2025-09-23T15:11:41Z</dcterms:created>
  <dcterms:modified xsi:type="dcterms:W3CDTF">2025-10-08T19:55:18Z</dcterms:modified>
</cp:coreProperties>
</file>